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 UMER\Downloads\"/>
    </mc:Choice>
  </mc:AlternateContent>
  <xr:revisionPtr revIDLastSave="0" documentId="13_ncr:1_{33A56BA3-BF6C-4C2E-A8C3-97E7AB5A48DE}" xr6:coauthVersionLast="47" xr6:coauthVersionMax="47" xr10:uidLastSave="{00000000-0000-0000-0000-000000000000}"/>
  <bookViews>
    <workbookView xWindow="-120" yWindow="-120" windowWidth="20730" windowHeight="11160" xr2:uid="{E0F2D099-F1A7-477B-A60E-DF530F9CB2C9}"/>
  </bookViews>
  <sheets>
    <sheet name="Regression analysis" sheetId="8" r:id="rId1"/>
    <sheet name="Regression graph" sheetId="4" r:id="rId2"/>
    <sheet name="Regression formulas" sheetId="1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8" l="1"/>
  <c r="C31" i="8"/>
  <c r="C32" i="8"/>
  <c r="C33" i="8"/>
  <c r="C34" i="8"/>
  <c r="C35" i="8"/>
  <c r="C36" i="8"/>
  <c r="C37" i="8"/>
  <c r="C38" i="8"/>
  <c r="C39" i="8"/>
  <c r="C29" i="8"/>
  <c r="B30" i="8"/>
  <c r="B31" i="8"/>
  <c r="B32" i="8"/>
  <c r="B33" i="8"/>
  <c r="B34" i="8"/>
  <c r="B35" i="8"/>
  <c r="B36" i="8"/>
  <c r="B37" i="8"/>
  <c r="B38" i="8"/>
  <c r="B39" i="8"/>
  <c r="B29" i="8"/>
  <c r="E9" i="11"/>
  <c r="E6" i="11"/>
  <c r="E12" i="11" l="1"/>
  <c r="E3" i="11" a="1"/>
  <c r="E3" i="11" s="1"/>
  <c r="F3" i="11" l="1"/>
</calcChain>
</file>

<file path=xl/sharedStrings.xml><?xml version="1.0" encoding="utf-8"?>
<sst xmlns="http://schemas.openxmlformats.org/spreadsheetml/2006/main" count="134" uniqueCount="53">
  <si>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</si>
  <si>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</si>
  <si>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</si>
  <si>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</si>
  <si>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</si>
  <si>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</si>
  <si>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</si>
  <si>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</si>
  <si>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</si>
  <si>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</si>
  <si>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</si>
  <si>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</si>
  <si>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</si>
  <si>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Rainfall (mm)</t>
  </si>
  <si>
    <t>Umbrellas sold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</si>
  <si>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</si>
  <si>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</si>
  <si>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</si>
  <si>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</si>
  <si>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</si>
  <si>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</si>
  <si>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</si>
  <si>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</si>
  <si>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</si>
  <si>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</si>
  <si>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</si>
  <si>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</si>
  <si>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</si>
  <si>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</si>
  <si>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</si>
  <si>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</si>
  <si>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</si>
  <si>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</si>
  <si>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</si>
  <si>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</si>
  <si>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</si>
  <si>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</si>
  <si>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</si>
  <si>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</si>
  <si>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</si>
  <si>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</si>
  <si>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Residuals</t>
  </si>
  <si>
    <t xml:space="preserve"> </t>
  </si>
  <si>
    <t>Rainfall</t>
  </si>
  <si>
    <t>Predicted Umbrellas sold</t>
  </si>
  <si>
    <t>Regression formula</t>
  </si>
  <si>
    <t>b</t>
  </si>
  <si>
    <t xml:space="preserve">Correlation coefficient </t>
  </si>
  <si>
    <t>a</t>
  </si>
  <si>
    <t xml:space="preserve"> y = bx + a</t>
  </si>
  <si>
    <t xml:space="preserve">a (Y-intercept) </t>
  </si>
  <si>
    <t>b (slope of a regression line)</t>
  </si>
  <si>
    <t>Forecasted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</si>
</sst>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0" fontId="0" fillId="0" borderId="1" xfId="0" applyBorder="1" applyAlignment="1">
      <alignment wrapText="1"/>
    </xf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</cellXfs>
  <cellStyles count="4">
    <cellStyle name="Hyperlink 2" xfId="1" xr:uid="{001EDE02-0D68-4F86-9D95-D145849101AE}"/>
    <cellStyle name="Hyperlink 3" xfId="3" xr:uid="{5584A9BC-26D5-4747-86FD-C9F0C95B24F8}"/>
    <cellStyle name="Normal" xfId="0" builtinId="0"/>
    <cellStyle name="Normal 3" xfId="2" xr:uid="{941AB275-B1A5-4D7F-8138-DE8ED11419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Linear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'Regression graph'!$C$1</c:f>
              <c:strCache>
                <c:ptCount val="1"/>
                <c:pt idx="0">
                  <c:v>Umbrellas sold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52174586938801104"/>
                  <c:y val="1.0582141284605188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graph'!$B$2:$B$25</c:f>
              <c:numCache>
                <c:formatCode>General</c:formatCode>
                <c:ptCount val="24"/>
                <c:pt idx="0">
                  <c:v>82</c:v>
                </c:pt>
                <c:pt idx="1">
                  <c:v>92.5</c:v>
                </c:pt>
                <c:pt idx="2">
                  <c:v>83.2</c:v>
                </c:pt>
                <c:pt idx="3">
                  <c:v>97.7</c:v>
                </c:pt>
                <c:pt idx="4">
                  <c:v>131.9</c:v>
                </c:pt>
                <c:pt idx="5">
                  <c:v>141.30000000000001</c:v>
                </c:pt>
                <c:pt idx="6">
                  <c:v>165.4</c:v>
                </c:pt>
                <c:pt idx="7">
                  <c:v>140</c:v>
                </c:pt>
                <c:pt idx="8">
                  <c:v>126.7</c:v>
                </c:pt>
                <c:pt idx="9">
                  <c:v>97.8</c:v>
                </c:pt>
                <c:pt idx="10">
                  <c:v>86.2</c:v>
                </c:pt>
                <c:pt idx="11">
                  <c:v>99.6</c:v>
                </c:pt>
                <c:pt idx="12">
                  <c:v>87</c:v>
                </c:pt>
                <c:pt idx="13">
                  <c:v>97.5</c:v>
                </c:pt>
                <c:pt idx="14">
                  <c:v>88.2</c:v>
                </c:pt>
                <c:pt idx="15">
                  <c:v>102.7</c:v>
                </c:pt>
                <c:pt idx="16">
                  <c:v>123</c:v>
                </c:pt>
                <c:pt idx="17">
                  <c:v>146.30000000000001</c:v>
                </c:pt>
                <c:pt idx="18">
                  <c:v>160</c:v>
                </c:pt>
                <c:pt idx="19">
                  <c:v>145</c:v>
                </c:pt>
                <c:pt idx="20">
                  <c:v>131.69999999999999</c:v>
                </c:pt>
                <c:pt idx="21">
                  <c:v>118</c:v>
                </c:pt>
                <c:pt idx="22">
                  <c:v>91.2</c:v>
                </c:pt>
                <c:pt idx="23">
                  <c:v>104.6</c:v>
                </c:pt>
              </c:numCache>
            </c:numRef>
          </c:xVal>
          <c:yVal>
            <c:numRef>
              <c:f>'Regression graph'!$C$2:$C$25</c:f>
              <c:numCache>
                <c:formatCode>General</c:formatCode>
                <c:ptCount val="24"/>
                <c:pt idx="0">
                  <c:v>15</c:v>
                </c:pt>
                <c:pt idx="1">
                  <c:v>25</c:v>
                </c:pt>
                <c:pt idx="2">
                  <c:v>17</c:v>
                </c:pt>
                <c:pt idx="3">
                  <c:v>28</c:v>
                </c:pt>
                <c:pt idx="4">
                  <c:v>41</c:v>
                </c:pt>
                <c:pt idx="5">
                  <c:v>47</c:v>
                </c:pt>
                <c:pt idx="6">
                  <c:v>50</c:v>
                </c:pt>
                <c:pt idx="7">
                  <c:v>46</c:v>
                </c:pt>
                <c:pt idx="8">
                  <c:v>37</c:v>
                </c:pt>
                <c:pt idx="9">
                  <c:v>22</c:v>
                </c:pt>
                <c:pt idx="10">
                  <c:v>20</c:v>
                </c:pt>
                <c:pt idx="11">
                  <c:v>30</c:v>
                </c:pt>
                <c:pt idx="12">
                  <c:v>14</c:v>
                </c:pt>
                <c:pt idx="13">
                  <c:v>27</c:v>
                </c:pt>
                <c:pt idx="14">
                  <c:v>14</c:v>
                </c:pt>
                <c:pt idx="15">
                  <c:v>30</c:v>
                </c:pt>
                <c:pt idx="16">
                  <c:v>43</c:v>
                </c:pt>
                <c:pt idx="17">
                  <c:v>49</c:v>
                </c:pt>
                <c:pt idx="18">
                  <c:v>49</c:v>
                </c:pt>
                <c:pt idx="19">
                  <c:v>44</c:v>
                </c:pt>
                <c:pt idx="20">
                  <c:v>39</c:v>
                </c:pt>
                <c:pt idx="21">
                  <c:v>36</c:v>
                </c:pt>
                <c:pt idx="22">
                  <c:v>20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B5-4F61-9821-B1A63780F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408392"/>
        <c:axId val="797410032"/>
      </c:scatterChart>
      <c:valAx>
        <c:axId val="797408392"/>
        <c:scaling>
          <c:orientation val="minMax"/>
          <c:max val="180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Rainfall (mm)</a:t>
                </a:r>
              </a:p>
            </c:rich>
          </c:tx>
          <c:layout>
            <c:manualLayout>
              <c:xMode val="edge"/>
              <c:yMode val="edge"/>
              <c:x val="0.44131258621770753"/>
              <c:y val="0.893142405243935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410032"/>
        <c:crosses val="autoZero"/>
        <c:crossBetween val="midCat"/>
      </c:valAx>
      <c:valAx>
        <c:axId val="79741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Umbrellas sold</a:t>
                </a:r>
              </a:p>
            </c:rich>
          </c:tx>
          <c:layout>
            <c:manualLayout>
              <c:xMode val="edge"/>
              <c:yMode val="edge"/>
              <c:x val="1.7364339389431542E-2"/>
              <c:y val="0.349791125981481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408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2040</xdr:colOff>
      <xdr:row>1</xdr:row>
      <xdr:rowOff>188459</xdr:rowOff>
    </xdr:from>
    <xdr:to>
      <xdr:col>12</xdr:col>
      <xdr:colOff>228600</xdr:colOff>
      <xdr:row>17</xdr:row>
      <xdr:rowOff>136072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7E59BD-6BBF-43CE-9439-7B06A33ED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D034-A1F4-4C03-8E38-CF926F102637}">
  <dimension ref="A1:W39"/>
  <sheetViews>
    <sheetView tabSelected="1" topLeftCell="A19" workbookViewId="0">
      <selection activeCell="C35" sqref="C35"/>
    </sheetView>
  </sheetViews>
  <sheetFormatPr defaultRowHeight="15" x14ac:dyDescent="0.25"/>
  <cols>
    <col min="1" max="1" width="9.42578125" customWidth="1"/>
    <col min="2" max="2" width="14.140625" customWidth="1"/>
    <col min="3" max="3" width="14.5703125" customWidth="1"/>
    <col min="5" max="5" width="10.5703125" customWidth="1"/>
    <col min="6" max="6" width="14.85546875" customWidth="1"/>
    <col min="7" max="7" width="14.42578125" customWidth="1"/>
    <col min="8" max="8" width="12.7109375" bestFit="1" customWidth="1"/>
    <col min="10" max="10" width="13.42578125" bestFit="1" customWidth="1"/>
    <col min="11" max="13" width="12.7109375" bestFit="1" customWidth="1"/>
    <col min="15" max="15" width="12.28515625" customWidth="1"/>
    <col min="16" max="16" width="23.140625" customWidth="1"/>
    <col min="17" max="17" width="12.7109375" bestFit="1" customWidth="1"/>
  </cols>
  <sheetData>
    <row r="1" spans="1:17" ht="15" customHeight="1" x14ac:dyDescent="0.25">
      <c r="A1" s="10" t="s">
        <v>12</v>
      </c>
      <c r="B1" s="9" t="s">
        <v>13</v>
      </c>
      <c r="C1" s="9" t="s">
        <v>14</v>
      </c>
      <c r="E1" t="s">
        <v>15</v>
      </c>
      <c r="O1" t="s">
        <v>39</v>
      </c>
    </row>
    <row r="2" spans="1:17" ht="15.75" thickBot="1" x14ac:dyDescent="0.3">
      <c r="A2" s="1" t="s">
        <v>0</v>
      </c>
      <c r="B2">
        <v>82</v>
      </c>
      <c r="C2" s="1">
        <v>15</v>
      </c>
    </row>
    <row r="3" spans="1:17" ht="15.75" customHeight="1" x14ac:dyDescent="0.25">
      <c r="A3" s="1" t="s">
        <v>1</v>
      </c>
      <c r="B3">
        <v>92.5</v>
      </c>
      <c r="C3" s="1">
        <v>25</v>
      </c>
      <c r="E3" s="4" t="s">
        <v>16</v>
      </c>
      <c r="F3" s="4"/>
      <c r="O3" s="7" t="s">
        <v>40</v>
      </c>
      <c r="P3" s="7" t="s">
        <v>44</v>
      </c>
      <c r="Q3" s="7" t="s">
        <v>41</v>
      </c>
    </row>
    <row r="4" spans="1:17" x14ac:dyDescent="0.25">
      <c r="A4" s="1" t="s">
        <v>2</v>
      </c>
      <c r="B4">
        <v>83.2</v>
      </c>
      <c r="C4" s="1">
        <v>17</v>
      </c>
      <c r="E4" t="s">
        <v>17</v>
      </c>
      <c r="F4">
        <v>0.95766679847859604</v>
      </c>
      <c r="O4">
        <v>1</v>
      </c>
      <c r="P4">
        <v>17.825999237458554</v>
      </c>
      <c r="Q4">
        <v>-2.8259992374585536</v>
      </c>
    </row>
    <row r="5" spans="1:17" x14ac:dyDescent="0.25">
      <c r="A5" s="1" t="s">
        <v>3</v>
      </c>
      <c r="B5">
        <v>97.7</v>
      </c>
      <c r="C5" s="1">
        <v>28</v>
      </c>
      <c r="E5" t="s">
        <v>18</v>
      </c>
      <c r="F5">
        <v>0.91712569690824386</v>
      </c>
      <c r="O5">
        <v>2</v>
      </c>
      <c r="P5">
        <v>22.551013096383308</v>
      </c>
      <c r="Q5">
        <v>2.4489869036166922</v>
      </c>
    </row>
    <row r="6" spans="1:17" x14ac:dyDescent="0.25">
      <c r="A6" s="1" t="s">
        <v>4</v>
      </c>
      <c r="B6">
        <v>131.9</v>
      </c>
      <c r="C6" s="1">
        <v>41</v>
      </c>
      <c r="E6" t="s">
        <v>19</v>
      </c>
      <c r="F6">
        <v>0.91335868313134583</v>
      </c>
      <c r="O6">
        <v>3</v>
      </c>
      <c r="P6">
        <v>18.366000821335668</v>
      </c>
      <c r="Q6">
        <v>-1.3660008213356676</v>
      </c>
    </row>
    <row r="7" spans="1:17" x14ac:dyDescent="0.25">
      <c r="A7" s="1" t="s">
        <v>5</v>
      </c>
      <c r="B7">
        <v>141.30000000000001</v>
      </c>
      <c r="C7" s="1">
        <v>47</v>
      </c>
      <c r="E7" t="s">
        <v>20</v>
      </c>
      <c r="F7">
        <v>3.5814138201875458</v>
      </c>
      <c r="O7">
        <v>4</v>
      </c>
      <c r="P7">
        <v>24.891019959850802</v>
      </c>
      <c r="Q7">
        <v>3.1089800401491985</v>
      </c>
    </row>
    <row r="8" spans="1:17" ht="15.75" thickBot="1" x14ac:dyDescent="0.3">
      <c r="A8" s="1" t="s">
        <v>6</v>
      </c>
      <c r="B8">
        <v>165.4</v>
      </c>
      <c r="C8" s="1">
        <v>50</v>
      </c>
      <c r="E8" s="2" t="s">
        <v>21</v>
      </c>
      <c r="F8" s="2">
        <v>24</v>
      </c>
      <c r="O8">
        <v>5</v>
      </c>
      <c r="P8">
        <v>40.28106510034857</v>
      </c>
      <c r="Q8">
        <v>0.71893489965142976</v>
      </c>
    </row>
    <row r="9" spans="1:17" x14ac:dyDescent="0.25">
      <c r="A9" s="1" t="s">
        <v>7</v>
      </c>
      <c r="B9">
        <v>140</v>
      </c>
      <c r="C9" s="1">
        <v>46</v>
      </c>
      <c r="O9">
        <v>6</v>
      </c>
      <c r="P9">
        <v>44.51107750738597</v>
      </c>
      <c r="Q9">
        <v>2.4889224926140301</v>
      </c>
    </row>
    <row r="10" spans="1:17" ht="15.75" thickBot="1" x14ac:dyDescent="0.3">
      <c r="A10" s="1" t="s">
        <v>8</v>
      </c>
      <c r="B10">
        <v>126.7</v>
      </c>
      <c r="C10" s="1">
        <v>37</v>
      </c>
      <c r="E10" t="s">
        <v>22</v>
      </c>
      <c r="O10">
        <v>7</v>
      </c>
      <c r="P10">
        <v>55.356109316918008</v>
      </c>
      <c r="Q10">
        <v>-5.3561093169180083</v>
      </c>
    </row>
    <row r="11" spans="1:17" x14ac:dyDescent="0.25">
      <c r="A11" s="1" t="s">
        <v>9</v>
      </c>
      <c r="B11">
        <v>97.8</v>
      </c>
      <c r="C11" s="1">
        <v>22</v>
      </c>
      <c r="E11" s="3"/>
      <c r="F11" s="3" t="s">
        <v>27</v>
      </c>
      <c r="G11" s="3" t="s">
        <v>28</v>
      </c>
      <c r="H11" s="3" t="s">
        <v>29</v>
      </c>
      <c r="I11" s="3" t="s">
        <v>30</v>
      </c>
      <c r="J11" s="3" t="s">
        <v>31</v>
      </c>
      <c r="O11">
        <v>8</v>
      </c>
      <c r="P11">
        <v>43.926075791519089</v>
      </c>
      <c r="Q11">
        <v>2.0739242084809106</v>
      </c>
    </row>
    <row r="12" spans="1:17" x14ac:dyDescent="0.25">
      <c r="A12" s="1" t="s">
        <v>10</v>
      </c>
      <c r="B12">
        <v>86.2</v>
      </c>
      <c r="C12" s="1">
        <v>20</v>
      </c>
      <c r="E12" t="s">
        <v>23</v>
      </c>
      <c r="F12">
        <v>1</v>
      </c>
      <c r="G12">
        <v>3122.7747844018659</v>
      </c>
      <c r="H12">
        <v>3122.7747844018659</v>
      </c>
      <c r="I12">
        <v>243.46226247769701</v>
      </c>
      <c r="J12">
        <v>2.2160430135560091E-13</v>
      </c>
      <c r="O12">
        <v>9</v>
      </c>
      <c r="P12">
        <v>37.941058236881069</v>
      </c>
      <c r="Q12">
        <v>-0.94105823688106938</v>
      </c>
    </row>
    <row r="13" spans="1:17" x14ac:dyDescent="0.25">
      <c r="A13" s="1" t="s">
        <v>11</v>
      </c>
      <c r="B13">
        <v>99.6</v>
      </c>
      <c r="C13" s="1">
        <v>30</v>
      </c>
      <c r="E13" t="s">
        <v>24</v>
      </c>
      <c r="F13">
        <v>22</v>
      </c>
      <c r="G13">
        <v>282.18354893146773</v>
      </c>
      <c r="H13">
        <v>12.826524951430351</v>
      </c>
      <c r="O13">
        <v>10</v>
      </c>
      <c r="P13">
        <v>24.936020091840561</v>
      </c>
      <c r="Q13">
        <v>-2.936020091840561</v>
      </c>
    </row>
    <row r="14" spans="1:17" ht="15.75" thickBot="1" x14ac:dyDescent="0.3">
      <c r="A14" s="1" t="s">
        <v>0</v>
      </c>
      <c r="B14">
        <v>87</v>
      </c>
      <c r="C14" s="1">
        <v>14</v>
      </c>
      <c r="E14" s="2" t="s">
        <v>25</v>
      </c>
      <c r="F14" s="2">
        <v>23</v>
      </c>
      <c r="G14" s="2">
        <v>3404.9583333333335</v>
      </c>
      <c r="H14" s="2"/>
      <c r="I14" s="2"/>
      <c r="J14" s="2"/>
      <c r="O14">
        <v>11</v>
      </c>
      <c r="P14">
        <v>19.71600478102846</v>
      </c>
      <c r="Q14">
        <v>0.28399521897154045</v>
      </c>
    </row>
    <row r="15" spans="1:17" ht="15.75" thickBot="1" x14ac:dyDescent="0.3">
      <c r="A15" s="1" t="s">
        <v>1</v>
      </c>
      <c r="B15">
        <v>97.5</v>
      </c>
      <c r="C15" s="1">
        <v>27</v>
      </c>
      <c r="O15">
        <v>12</v>
      </c>
      <c r="P15">
        <v>25.746022467656232</v>
      </c>
      <c r="Q15">
        <v>4.2539775323437681</v>
      </c>
    </row>
    <row r="16" spans="1:17" x14ac:dyDescent="0.25">
      <c r="A16" s="1" t="s">
        <v>2</v>
      </c>
      <c r="B16">
        <v>88.2</v>
      </c>
      <c r="C16" s="1">
        <v>14</v>
      </c>
      <c r="E16" s="3"/>
      <c r="F16" s="3" t="s">
        <v>32</v>
      </c>
      <c r="G16" s="3" t="s">
        <v>20</v>
      </c>
      <c r="H16" s="3" t="s">
        <v>33</v>
      </c>
      <c r="I16" s="3" t="s">
        <v>34</v>
      </c>
      <c r="J16" s="3" t="s">
        <v>35</v>
      </c>
      <c r="K16" s="3" t="s">
        <v>36</v>
      </c>
      <c r="L16" s="3" t="s">
        <v>37</v>
      </c>
      <c r="M16" s="3" t="s">
        <v>38</v>
      </c>
      <c r="O16">
        <v>13</v>
      </c>
      <c r="P16">
        <v>20.076005836946528</v>
      </c>
      <c r="Q16">
        <v>-6.0760058369465284</v>
      </c>
    </row>
    <row r="17" spans="1:23" x14ac:dyDescent="0.25">
      <c r="A17" s="1" t="s">
        <v>3</v>
      </c>
      <c r="B17">
        <v>102.7</v>
      </c>
      <c r="C17" s="1">
        <v>30</v>
      </c>
      <c r="E17" t="s">
        <v>26</v>
      </c>
      <c r="F17">
        <v>-19.074108994144268</v>
      </c>
      <c r="G17">
        <v>3.3721821679540174</v>
      </c>
      <c r="H17">
        <v>-5.656310378308234</v>
      </c>
      <c r="I17">
        <v>1.0928970923498202E-5</v>
      </c>
      <c r="J17">
        <v>-26.067586772330316</v>
      </c>
      <c r="K17">
        <v>-12.080631215958221</v>
      </c>
      <c r="L17">
        <v>-26.067586772330316</v>
      </c>
      <c r="M17">
        <v>-12.080631215958221</v>
      </c>
      <c r="O17">
        <v>14</v>
      </c>
      <c r="P17">
        <v>24.801019695871283</v>
      </c>
      <c r="Q17">
        <v>2.1989803041287175</v>
      </c>
    </row>
    <row r="18" spans="1:23" ht="15.75" thickBot="1" x14ac:dyDescent="0.3">
      <c r="A18" s="1" t="s">
        <v>4</v>
      </c>
      <c r="B18">
        <v>123</v>
      </c>
      <c r="C18" s="1">
        <v>43</v>
      </c>
      <c r="E18" s="5" t="s">
        <v>43</v>
      </c>
      <c r="F18" s="2">
        <v>0.4500013198975954</v>
      </c>
      <c r="G18" s="2">
        <v>2.884017961526901E-2</v>
      </c>
      <c r="H18" s="2">
        <v>15.603277299263032</v>
      </c>
      <c r="I18" s="2">
        <v>2.2160430135560016E-13</v>
      </c>
      <c r="J18" s="2">
        <v>0.39019044811997433</v>
      </c>
      <c r="K18" s="2">
        <v>0.50981219167521652</v>
      </c>
      <c r="L18" s="2">
        <v>0.39019044811997433</v>
      </c>
      <c r="M18" s="2">
        <v>0.50981219167521652</v>
      </c>
      <c r="O18">
        <v>15</v>
      </c>
      <c r="P18">
        <v>20.616007420823649</v>
      </c>
      <c r="Q18">
        <v>-6.6160074208236495</v>
      </c>
    </row>
    <row r="19" spans="1:23" x14ac:dyDescent="0.25">
      <c r="A19" s="1" t="s">
        <v>5</v>
      </c>
      <c r="B19">
        <v>146.30000000000001</v>
      </c>
      <c r="C19" s="1">
        <v>49</v>
      </c>
      <c r="O19">
        <v>16</v>
      </c>
      <c r="P19">
        <v>27.141026559338783</v>
      </c>
      <c r="Q19">
        <v>2.8589734406612166</v>
      </c>
    </row>
    <row r="20" spans="1:23" x14ac:dyDescent="0.25">
      <c r="A20" s="1" t="s">
        <v>6</v>
      </c>
      <c r="B20">
        <v>160</v>
      </c>
      <c r="C20" s="1">
        <v>49</v>
      </c>
      <c r="O20">
        <v>17</v>
      </c>
      <c r="P20">
        <v>36.276053353259968</v>
      </c>
      <c r="Q20">
        <v>6.723946646740032</v>
      </c>
      <c r="W20" t="s">
        <v>42</v>
      </c>
    </row>
    <row r="21" spans="1:23" x14ac:dyDescent="0.25">
      <c r="A21" s="1" t="s">
        <v>7</v>
      </c>
      <c r="B21">
        <v>145</v>
      </c>
      <c r="C21" s="1">
        <v>44</v>
      </c>
      <c r="O21">
        <v>18</v>
      </c>
      <c r="P21">
        <v>46.761084106873938</v>
      </c>
      <c r="Q21">
        <v>2.2389158931260624</v>
      </c>
    </row>
    <row r="22" spans="1:23" x14ac:dyDescent="0.25">
      <c r="A22" s="1" t="s">
        <v>8</v>
      </c>
      <c r="B22">
        <v>131.69999999999999</v>
      </c>
      <c r="C22" s="1">
        <v>39</v>
      </c>
      <c r="O22">
        <v>19</v>
      </c>
      <c r="P22">
        <v>52.926102189470996</v>
      </c>
      <c r="Q22">
        <v>-3.9261021894709955</v>
      </c>
    </row>
    <row r="23" spans="1:23" x14ac:dyDescent="0.25">
      <c r="A23" s="1" t="s">
        <v>9</v>
      </c>
      <c r="B23">
        <v>118</v>
      </c>
      <c r="C23" s="1">
        <v>36</v>
      </c>
      <c r="O23">
        <v>20</v>
      </c>
      <c r="P23">
        <v>46.176082391007071</v>
      </c>
      <c r="Q23">
        <v>-2.1760823910070712</v>
      </c>
    </row>
    <row r="24" spans="1:23" x14ac:dyDescent="0.25">
      <c r="A24" s="1" t="s">
        <v>10</v>
      </c>
      <c r="B24">
        <v>91.2</v>
      </c>
      <c r="C24" s="1">
        <v>20</v>
      </c>
      <c r="O24">
        <v>21</v>
      </c>
      <c r="P24">
        <v>40.191064836369044</v>
      </c>
      <c r="Q24">
        <v>-1.1910648363690441</v>
      </c>
    </row>
    <row r="25" spans="1:23" ht="13.5" customHeight="1" x14ac:dyDescent="0.25">
      <c r="A25" s="1" t="s">
        <v>11</v>
      </c>
      <c r="B25">
        <v>104.6</v>
      </c>
      <c r="C25" s="1">
        <v>32</v>
      </c>
      <c r="O25">
        <v>22</v>
      </c>
      <c r="P25">
        <v>34.026046753771986</v>
      </c>
      <c r="Q25">
        <v>1.9739532462280138</v>
      </c>
    </row>
    <row r="26" spans="1:23" x14ac:dyDescent="0.25">
      <c r="O26">
        <v>23</v>
      </c>
      <c r="P26">
        <v>21.966011380516434</v>
      </c>
      <c r="Q26">
        <v>-1.9660113805164343</v>
      </c>
    </row>
    <row r="27" spans="1:23" ht="15.75" thickBot="1" x14ac:dyDescent="0.3">
      <c r="A27" s="1" t="s">
        <v>52</v>
      </c>
      <c r="O27" s="2">
        <v>24</v>
      </c>
      <c r="P27" s="2">
        <v>27.996029067144207</v>
      </c>
      <c r="Q27" s="2">
        <v>4.0039709328557933</v>
      </c>
    </row>
    <row r="28" spans="1:23" x14ac:dyDescent="0.25">
      <c r="A28" s="1" t="s">
        <v>0</v>
      </c>
    </row>
    <row r="29" spans="1:23" x14ac:dyDescent="0.25">
      <c r="A29" t="s">
        <v>1</v>
      </c>
      <c r="B29">
        <f>SUM(B13:B15)/3</f>
        <v>94.7</v>
      </c>
      <c r="C29">
        <f>$F$18*B29+$F$17</f>
        <v>23.541016000158017</v>
      </c>
    </row>
    <row r="30" spans="1:23" x14ac:dyDescent="0.25">
      <c r="A30" t="s">
        <v>2</v>
      </c>
      <c r="B30">
        <f t="shared" ref="B30:B39" si="0">SUM(B14:B16)/3</f>
        <v>90.899999999999991</v>
      </c>
      <c r="C30">
        <f t="shared" ref="C30:C39" si="1">$F$18*B30+$F$17</f>
        <v>21.831010984547149</v>
      </c>
    </row>
    <row r="31" spans="1:23" x14ac:dyDescent="0.25">
      <c r="A31" t="s">
        <v>3</v>
      </c>
      <c r="B31">
        <f t="shared" si="0"/>
        <v>96.133333333333326</v>
      </c>
      <c r="C31">
        <f t="shared" si="1"/>
        <v>24.186017892011236</v>
      </c>
    </row>
    <row r="32" spans="1:23" x14ac:dyDescent="0.25">
      <c r="A32" t="s">
        <v>4</v>
      </c>
      <c r="B32">
        <f t="shared" si="0"/>
        <v>104.63333333333333</v>
      </c>
      <c r="C32">
        <f t="shared" si="1"/>
        <v>28.011029111140793</v>
      </c>
    </row>
    <row r="33" spans="1:3" x14ac:dyDescent="0.25">
      <c r="A33" t="s">
        <v>5</v>
      </c>
      <c r="B33">
        <f t="shared" si="0"/>
        <v>124</v>
      </c>
      <c r="C33">
        <f t="shared" si="1"/>
        <v>36.726054673157563</v>
      </c>
    </row>
    <row r="34" spans="1:3" x14ac:dyDescent="0.25">
      <c r="A34" t="s">
        <v>6</v>
      </c>
      <c r="B34">
        <f t="shared" si="0"/>
        <v>143.1</v>
      </c>
      <c r="C34">
        <f t="shared" si="1"/>
        <v>45.321079883201634</v>
      </c>
    </row>
    <row r="35" spans="1:3" x14ac:dyDescent="0.25">
      <c r="A35" t="s">
        <v>7</v>
      </c>
      <c r="B35">
        <f t="shared" si="0"/>
        <v>150.43333333333334</v>
      </c>
      <c r="C35">
        <f t="shared" si="1"/>
        <v>48.621089562450663</v>
      </c>
    </row>
    <row r="36" spans="1:3" x14ac:dyDescent="0.25">
      <c r="A36" t="s">
        <v>8</v>
      </c>
      <c r="B36">
        <f t="shared" si="0"/>
        <v>145.56666666666666</v>
      </c>
      <c r="C36">
        <f t="shared" si="1"/>
        <v>46.431083138949035</v>
      </c>
    </row>
    <row r="37" spans="1:3" x14ac:dyDescent="0.25">
      <c r="A37" t="s">
        <v>9</v>
      </c>
      <c r="B37">
        <f t="shared" si="0"/>
        <v>131.56666666666666</v>
      </c>
      <c r="C37">
        <f t="shared" si="1"/>
        <v>40.131064660382698</v>
      </c>
    </row>
    <row r="38" spans="1:3" x14ac:dyDescent="0.25">
      <c r="A38" t="s">
        <v>10</v>
      </c>
      <c r="B38">
        <f t="shared" si="0"/>
        <v>113.63333333333333</v>
      </c>
      <c r="C38">
        <f t="shared" si="1"/>
        <v>32.061040990219155</v>
      </c>
    </row>
    <row r="39" spans="1:3" x14ac:dyDescent="0.25">
      <c r="A39" t="s">
        <v>11</v>
      </c>
      <c r="B39">
        <f t="shared" si="0"/>
        <v>104.59999999999998</v>
      </c>
      <c r="C39">
        <f t="shared" si="1"/>
        <v>27.9960290671442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3271-5113-433B-AC95-C2BD0990B0D3}">
  <dimension ref="A1:S25"/>
  <sheetViews>
    <sheetView topLeftCell="A2" zoomScaleNormal="100" workbookViewId="0"/>
  </sheetViews>
  <sheetFormatPr defaultRowHeight="15" x14ac:dyDescent="0.25"/>
  <cols>
    <col min="1" max="1" width="11.85546875" customWidth="1"/>
    <col min="2" max="2" width="13.28515625" customWidth="1"/>
    <col min="3" max="3" width="15.140625" customWidth="1"/>
  </cols>
  <sheetData>
    <row r="1" spans="1:19" ht="15.75" customHeight="1" x14ac:dyDescent="0.25">
      <c r="A1" s="10" t="s">
        <v>12</v>
      </c>
      <c r="B1" s="9" t="s">
        <v>13</v>
      </c>
      <c r="C1" s="9" t="s">
        <v>14</v>
      </c>
    </row>
    <row r="2" spans="1:19" x14ac:dyDescent="0.25">
      <c r="A2" s="1" t="s">
        <v>0</v>
      </c>
      <c r="B2">
        <v>82</v>
      </c>
      <c r="C2" s="1">
        <v>15</v>
      </c>
      <c r="F2" s="6"/>
    </row>
    <row r="3" spans="1:19" x14ac:dyDescent="0.25">
      <c r="A3" s="1" t="s">
        <v>1</v>
      </c>
      <c r="B3">
        <v>92.5</v>
      </c>
      <c r="C3" s="1">
        <v>25</v>
      </c>
      <c r="S3" s="1"/>
    </row>
    <row r="4" spans="1:19" x14ac:dyDescent="0.25">
      <c r="A4" s="1" t="s">
        <v>2</v>
      </c>
      <c r="B4">
        <v>83.2</v>
      </c>
      <c r="C4" s="1">
        <v>17</v>
      </c>
      <c r="S4" s="1"/>
    </row>
    <row r="5" spans="1:19" x14ac:dyDescent="0.25">
      <c r="A5" s="1" t="s">
        <v>3</v>
      </c>
      <c r="B5">
        <v>97.7</v>
      </c>
      <c r="C5" s="1">
        <v>28</v>
      </c>
      <c r="S5" s="1"/>
    </row>
    <row r="6" spans="1:19" x14ac:dyDescent="0.25">
      <c r="A6" s="1" t="s">
        <v>4</v>
      </c>
      <c r="B6">
        <v>131.9</v>
      </c>
      <c r="C6" s="1">
        <v>41</v>
      </c>
      <c r="S6" s="1"/>
    </row>
    <row r="7" spans="1:19" x14ac:dyDescent="0.25">
      <c r="A7" s="1" t="s">
        <v>5</v>
      </c>
      <c r="B7">
        <v>141.30000000000001</v>
      </c>
      <c r="C7" s="1">
        <v>47</v>
      </c>
      <c r="S7" s="1"/>
    </row>
    <row r="8" spans="1:19" x14ac:dyDescent="0.25">
      <c r="A8" s="1" t="s">
        <v>6</v>
      </c>
      <c r="B8">
        <v>165.4</v>
      </c>
      <c r="C8" s="1">
        <v>50</v>
      </c>
      <c r="S8" s="1"/>
    </row>
    <row r="9" spans="1:19" x14ac:dyDescent="0.25">
      <c r="A9" s="1" t="s">
        <v>7</v>
      </c>
      <c r="B9">
        <v>140</v>
      </c>
      <c r="C9" s="1">
        <v>46</v>
      </c>
      <c r="S9" s="1"/>
    </row>
    <row r="10" spans="1:19" x14ac:dyDescent="0.25">
      <c r="A10" s="1" t="s">
        <v>8</v>
      </c>
      <c r="B10">
        <v>126.7</v>
      </c>
      <c r="C10" s="1">
        <v>37</v>
      </c>
      <c r="S10" s="1"/>
    </row>
    <row r="11" spans="1:19" x14ac:dyDescent="0.25">
      <c r="A11" s="1" t="s">
        <v>9</v>
      </c>
      <c r="B11">
        <v>97.8</v>
      </c>
      <c r="C11" s="1">
        <v>22</v>
      </c>
      <c r="S11" s="1"/>
    </row>
    <row r="12" spans="1:19" x14ac:dyDescent="0.25">
      <c r="A12" s="1" t="s">
        <v>10</v>
      </c>
      <c r="B12">
        <v>86.2</v>
      </c>
      <c r="C12" s="1">
        <v>20</v>
      </c>
      <c r="S12" s="1"/>
    </row>
    <row r="13" spans="1:19" x14ac:dyDescent="0.25">
      <c r="A13" s="1" t="s">
        <v>11</v>
      </c>
      <c r="B13">
        <v>99.6</v>
      </c>
      <c r="C13" s="1">
        <v>30</v>
      </c>
      <c r="S13" s="1"/>
    </row>
    <row r="14" spans="1:19" x14ac:dyDescent="0.25">
      <c r="A14" s="1" t="s">
        <v>0</v>
      </c>
      <c r="B14">
        <v>87</v>
      </c>
      <c r="C14" s="1">
        <v>14</v>
      </c>
      <c r="S14" s="1"/>
    </row>
    <row r="15" spans="1:19" x14ac:dyDescent="0.25">
      <c r="A15" s="1" t="s">
        <v>1</v>
      </c>
      <c r="B15">
        <v>97.5</v>
      </c>
      <c r="C15" s="1">
        <v>27</v>
      </c>
    </row>
    <row r="16" spans="1:19" x14ac:dyDescent="0.25">
      <c r="A16" s="1" t="s">
        <v>2</v>
      </c>
      <c r="B16">
        <v>88.2</v>
      </c>
      <c r="C16" s="1">
        <v>14</v>
      </c>
    </row>
    <row r="17" spans="1:3" x14ac:dyDescent="0.25">
      <c r="A17" s="1" t="s">
        <v>3</v>
      </c>
      <c r="B17">
        <v>102.7</v>
      </c>
      <c r="C17" s="1">
        <v>30</v>
      </c>
    </row>
    <row r="18" spans="1:3" x14ac:dyDescent="0.25">
      <c r="A18" s="1" t="s">
        <v>4</v>
      </c>
      <c r="B18">
        <v>123</v>
      </c>
      <c r="C18" s="1">
        <v>43</v>
      </c>
    </row>
    <row r="19" spans="1:3" x14ac:dyDescent="0.25">
      <c r="A19" s="1" t="s">
        <v>5</v>
      </c>
      <c r="B19">
        <v>146.30000000000001</v>
      </c>
      <c r="C19" s="1">
        <v>49</v>
      </c>
    </row>
    <row r="20" spans="1:3" x14ac:dyDescent="0.25">
      <c r="A20" s="1" t="s">
        <v>6</v>
      </c>
      <c r="B20">
        <v>160</v>
      </c>
      <c r="C20" s="1">
        <v>49</v>
      </c>
    </row>
    <row r="21" spans="1:3" x14ac:dyDescent="0.25">
      <c r="A21" s="1" t="s">
        <v>7</v>
      </c>
      <c r="B21">
        <v>145</v>
      </c>
      <c r="C21" s="1">
        <v>44</v>
      </c>
    </row>
    <row r="22" spans="1:3" x14ac:dyDescent="0.25">
      <c r="A22" s="1" t="s">
        <v>8</v>
      </c>
      <c r="B22">
        <v>131.69999999999999</v>
      </c>
      <c r="C22" s="1">
        <v>39</v>
      </c>
    </row>
    <row r="23" spans="1:3" x14ac:dyDescent="0.25">
      <c r="A23" s="1" t="s">
        <v>9</v>
      </c>
      <c r="B23">
        <v>118</v>
      </c>
      <c r="C23" s="1">
        <v>36</v>
      </c>
    </row>
    <row r="24" spans="1:3" x14ac:dyDescent="0.25">
      <c r="A24" s="1" t="s">
        <v>10</v>
      </c>
      <c r="B24">
        <v>91.2</v>
      </c>
      <c r="C24" s="1">
        <v>20</v>
      </c>
    </row>
    <row r="25" spans="1:3" x14ac:dyDescent="0.25">
      <c r="A25" s="1" t="s">
        <v>11</v>
      </c>
      <c r="B25">
        <v>104.6</v>
      </c>
      <c r="C25" s="1">
        <v>32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28F5-1992-4BE6-9929-E65AEB65B1FE}">
  <dimension ref="A1:S25"/>
  <sheetViews>
    <sheetView zoomScaleNormal="100" workbookViewId="0"/>
  </sheetViews>
  <sheetFormatPr defaultRowHeight="15" x14ac:dyDescent="0.25"/>
  <cols>
    <col min="1" max="1" width="9.42578125" customWidth="1"/>
    <col min="2" max="2" width="13.140625" customWidth="1"/>
    <col min="3" max="3" width="14.7109375" customWidth="1"/>
    <col min="4" max="4" width="8" customWidth="1"/>
  </cols>
  <sheetData>
    <row r="1" spans="1:19" ht="17.25" customHeight="1" x14ac:dyDescent="0.25">
      <c r="A1" s="9" t="s">
        <v>12</v>
      </c>
      <c r="B1" s="9" t="s">
        <v>13</v>
      </c>
      <c r="C1" s="9" t="s">
        <v>14</v>
      </c>
      <c r="E1" s="11" t="s">
        <v>45</v>
      </c>
      <c r="F1" s="11"/>
      <c r="G1" t="s">
        <v>49</v>
      </c>
    </row>
    <row r="2" spans="1:19" ht="15.75" customHeight="1" x14ac:dyDescent="0.25">
      <c r="A2" s="1" t="s">
        <v>0</v>
      </c>
      <c r="B2">
        <v>82</v>
      </c>
      <c r="C2" s="1">
        <v>15</v>
      </c>
      <c r="E2" s="8" t="s">
        <v>46</v>
      </c>
      <c r="F2" s="8" t="s">
        <v>48</v>
      </c>
    </row>
    <row r="3" spans="1:19" x14ac:dyDescent="0.25">
      <c r="A3" s="1" t="s">
        <v>1</v>
      </c>
      <c r="B3">
        <v>92.5</v>
      </c>
      <c r="C3" s="1">
        <v>25</v>
      </c>
      <c r="E3">
        <f t="array" ref="E3:F3">LINEST(C2:C25, B2:B25)</f>
        <v>0.4500013198975954</v>
      </c>
      <c r="F3" s="6">
        <v>-19.074108994144268</v>
      </c>
    </row>
    <row r="4" spans="1:19" x14ac:dyDescent="0.25">
      <c r="A4" s="1" t="s">
        <v>2</v>
      </c>
      <c r="B4">
        <v>83.2</v>
      </c>
      <c r="C4" s="1">
        <v>17</v>
      </c>
      <c r="S4" s="1"/>
    </row>
    <row r="5" spans="1:19" x14ac:dyDescent="0.25">
      <c r="A5" s="1" t="s">
        <v>3</v>
      </c>
      <c r="B5">
        <v>97.7</v>
      </c>
      <c r="C5" s="1">
        <v>28</v>
      </c>
      <c r="E5" s="11" t="s">
        <v>50</v>
      </c>
      <c r="F5" s="11"/>
      <c r="G5" s="11"/>
      <c r="S5" s="1"/>
    </row>
    <row r="6" spans="1:19" x14ac:dyDescent="0.25">
      <c r="A6" s="1" t="s">
        <v>4</v>
      </c>
      <c r="B6">
        <v>131.9</v>
      </c>
      <c r="C6" s="1">
        <v>41</v>
      </c>
      <c r="E6">
        <f>INTERCEPT(C2:C25, B2:B25)</f>
        <v>-19.074108994144261</v>
      </c>
      <c r="F6" t="s">
        <v>42</v>
      </c>
      <c r="S6" s="1"/>
    </row>
    <row r="7" spans="1:19" x14ac:dyDescent="0.25">
      <c r="A7" s="1" t="s">
        <v>5</v>
      </c>
      <c r="B7">
        <v>141.30000000000001</v>
      </c>
      <c r="C7" s="1">
        <v>47</v>
      </c>
      <c r="S7" s="1"/>
    </row>
    <row r="8" spans="1:19" x14ac:dyDescent="0.25">
      <c r="A8" s="1" t="s">
        <v>6</v>
      </c>
      <c r="B8">
        <v>165.4</v>
      </c>
      <c r="C8" s="1">
        <v>50</v>
      </c>
      <c r="E8" s="11" t="s">
        <v>51</v>
      </c>
      <c r="F8" s="11"/>
      <c r="G8" s="11"/>
      <c r="S8" s="1"/>
    </row>
    <row r="9" spans="1:19" x14ac:dyDescent="0.25">
      <c r="A9" s="1" t="s">
        <v>7</v>
      </c>
      <c r="B9">
        <v>140</v>
      </c>
      <c r="C9" s="1">
        <v>46</v>
      </c>
      <c r="E9">
        <f>SLOPE(C2:C25, B2:B25)</f>
        <v>0.45000131989759534</v>
      </c>
      <c r="F9" t="s">
        <v>42</v>
      </c>
      <c r="S9" s="1"/>
    </row>
    <row r="10" spans="1:19" x14ac:dyDescent="0.25">
      <c r="A10" s="1" t="s">
        <v>8</v>
      </c>
      <c r="B10">
        <v>126.7</v>
      </c>
      <c r="C10" s="1">
        <v>37</v>
      </c>
      <c r="S10" s="1"/>
    </row>
    <row r="11" spans="1:19" x14ac:dyDescent="0.25">
      <c r="A11" s="1" t="s">
        <v>9</v>
      </c>
      <c r="B11">
        <v>97.8</v>
      </c>
      <c r="C11" s="1">
        <v>22</v>
      </c>
      <c r="E11" s="11" t="s">
        <v>47</v>
      </c>
      <c r="F11" s="11"/>
      <c r="G11" s="11"/>
      <c r="S11" s="1"/>
    </row>
    <row r="12" spans="1:19" x14ac:dyDescent="0.25">
      <c r="A12" s="1" t="s">
        <v>10</v>
      </c>
      <c r="B12">
        <v>86.2</v>
      </c>
      <c r="C12" s="1">
        <v>20</v>
      </c>
      <c r="E12">
        <f>CORREL(B2:B25,C2:C25)</f>
        <v>0.95766679847859593</v>
      </c>
      <c r="S12" s="1"/>
    </row>
    <row r="13" spans="1:19" x14ac:dyDescent="0.25">
      <c r="A13" s="1" t="s">
        <v>11</v>
      </c>
      <c r="B13">
        <v>99.6</v>
      </c>
      <c r="C13" s="1">
        <v>30</v>
      </c>
      <c r="S13" s="1"/>
    </row>
    <row r="14" spans="1:19" x14ac:dyDescent="0.25">
      <c r="A14" s="1" t="s">
        <v>0</v>
      </c>
      <c r="B14">
        <v>87</v>
      </c>
      <c r="C14" s="1">
        <v>14</v>
      </c>
      <c r="S14" s="1"/>
    </row>
    <row r="15" spans="1:19" x14ac:dyDescent="0.25">
      <c r="A15" s="1" t="s">
        <v>1</v>
      </c>
      <c r="B15">
        <v>97.5</v>
      </c>
      <c r="C15" s="1">
        <v>27</v>
      </c>
      <c r="S15" s="1"/>
    </row>
    <row r="16" spans="1:19" x14ac:dyDescent="0.25">
      <c r="A16" s="1" t="s">
        <v>2</v>
      </c>
      <c r="B16">
        <v>88.2</v>
      </c>
      <c r="C16" s="1">
        <v>14</v>
      </c>
    </row>
    <row r="17" spans="1:3" x14ac:dyDescent="0.25">
      <c r="A17" s="1" t="s">
        <v>3</v>
      </c>
      <c r="B17">
        <v>102.7</v>
      </c>
      <c r="C17" s="1">
        <v>30</v>
      </c>
    </row>
    <row r="18" spans="1:3" x14ac:dyDescent="0.25">
      <c r="A18" s="1" t="s">
        <v>4</v>
      </c>
      <c r="B18">
        <v>123</v>
      </c>
      <c r="C18" s="1">
        <v>43</v>
      </c>
    </row>
    <row r="19" spans="1:3" x14ac:dyDescent="0.25">
      <c r="A19" s="1" t="s">
        <v>5</v>
      </c>
      <c r="B19">
        <v>146.30000000000001</v>
      </c>
      <c r="C19" s="1">
        <v>49</v>
      </c>
    </row>
    <row r="20" spans="1:3" x14ac:dyDescent="0.25">
      <c r="A20" s="1" t="s">
        <v>6</v>
      </c>
      <c r="B20">
        <v>160</v>
      </c>
      <c r="C20" s="1">
        <v>49</v>
      </c>
    </row>
    <row r="21" spans="1:3" x14ac:dyDescent="0.25">
      <c r="A21" s="1" t="s">
        <v>7</v>
      </c>
      <c r="B21">
        <v>145</v>
      </c>
      <c r="C21" s="1">
        <v>44</v>
      </c>
    </row>
    <row r="22" spans="1:3" x14ac:dyDescent="0.25">
      <c r="A22" s="1" t="s">
        <v>8</v>
      </c>
      <c r="B22">
        <v>131.69999999999999</v>
      </c>
      <c r="C22" s="1">
        <v>39</v>
      </c>
    </row>
    <row r="23" spans="1:3" x14ac:dyDescent="0.25">
      <c r="A23" s="1" t="s">
        <v>9</v>
      </c>
      <c r="B23">
        <v>118</v>
      </c>
      <c r="C23" s="1">
        <v>36</v>
      </c>
    </row>
    <row r="24" spans="1:3" x14ac:dyDescent="0.25">
      <c r="A24" s="1" t="s">
        <v>10</v>
      </c>
      <c r="B24">
        <v>91.2</v>
      </c>
      <c r="C24" s="1">
        <v>20</v>
      </c>
    </row>
    <row r="25" spans="1:3" x14ac:dyDescent="0.25">
      <c r="A25" s="1" t="s">
        <v>11</v>
      </c>
      <c r="B25">
        <v>104.6</v>
      </c>
      <c r="C25" s="1">
        <v>32</v>
      </c>
    </row>
  </sheetData>
  <mergeCells count="4">
    <mergeCell ref="E1:F1"/>
    <mergeCell ref="E11:G11"/>
    <mergeCell ref="E5:G5"/>
    <mergeCell ref="E8:G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Regression analysis</vt:lpstr>
      <vt:lpstr>Regression graph</vt:lpstr>
      <vt:lpstr>Regression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Frolov</dc:creator>
  <cp:lastModifiedBy>Kaneez Fatima</cp:lastModifiedBy>
  <dcterms:created xsi:type="dcterms:W3CDTF">2018-06-25T11:13:37Z</dcterms:created>
  <dcterms:modified xsi:type="dcterms:W3CDTF">2023-05-21T15:57:59Z</dcterms:modified>
</cp:coreProperties>
</file>